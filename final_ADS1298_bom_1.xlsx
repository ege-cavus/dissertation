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egecavus/Desktop/Dissertation/Hardware/ADS1298_BreakoutBoard/"/>
    </mc:Choice>
  </mc:AlternateContent>
  <xr:revisionPtr revIDLastSave="0" documentId="13_ncr:1_{F4349500-AC11-1D4F-8206-A2B5E8A3C405}" xr6:coauthVersionLast="47" xr6:coauthVersionMax="47" xr10:uidLastSave="{00000000-0000-0000-0000-000000000000}"/>
  <bookViews>
    <workbookView xWindow="4420" yWindow="640" windowWidth="24980" windowHeight="18480" activeTab="1" xr2:uid="{00000000-000D-0000-FFFF-FFFF00000000}"/>
  </bookViews>
  <sheets>
    <sheet name="BOM_Priced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M32" i="1"/>
</calcChain>
</file>

<file path=xl/sharedStrings.xml><?xml version="1.0" encoding="utf-8"?>
<sst xmlns="http://schemas.openxmlformats.org/spreadsheetml/2006/main" count="338" uniqueCount="225">
  <si>
    <t>Reference</t>
  </si>
  <si>
    <t>Qty</t>
  </si>
  <si>
    <t>Order_Qty</t>
  </si>
  <si>
    <t>Value</t>
  </si>
  <si>
    <t>Description</t>
  </si>
  <si>
    <t>Footprint</t>
  </si>
  <si>
    <t>Manufacturer</t>
  </si>
  <si>
    <t>MPN</t>
  </si>
  <si>
    <t>Distributor</t>
  </si>
  <si>
    <t>Distributor_PN</t>
  </si>
  <si>
    <t>Specs (Tol/V/Type/TCR/P/I/DCR/Pkg)</t>
  </si>
  <si>
    <t>Unit_Price_GBP</t>
  </si>
  <si>
    <t>Ext_Price_GBP</t>
  </si>
  <si>
    <t>Currency</t>
  </si>
  <si>
    <t>Buy_Link</t>
  </si>
  <si>
    <t>C1,C8,C17,C25,C33,C35</t>
  </si>
  <si>
    <t>0.1uF</t>
  </si>
  <si>
    <t>CAP CER 0.1UF 16V X7R 0603</t>
  </si>
  <si>
    <t>Capacitor_SMD:C_0603_1608Metric_Pad1.08x0.95mm_HandSolder</t>
  </si>
  <si>
    <t>KEMET</t>
  </si>
  <si>
    <t>C0603C104K4RACTU</t>
  </si>
  <si>
    <t>DigiKey</t>
  </si>
  <si>
    <t>399-C0603C104K4RACTUCT-ND</t>
  </si>
  <si>
    <t>±10% / 16V / X7R / 0603</t>
  </si>
  <si>
    <t>GBP (ex VAT)</t>
  </si>
  <si>
    <t>C2,C12,C13,C14,C15,C16,C18,C19,C20,C22,C23,C24,C26,C27,C47,C49,C50</t>
  </si>
  <si>
    <t>1nF</t>
  </si>
  <si>
    <t>CAP CER 1nF 50V C0G/NP0 0603 (1608M) ±5%</t>
  </si>
  <si>
    <t>C0603C102J5GACTU</t>
  </si>
  <si>
    <t>Farnell</t>
  </si>
  <si>
    <t>1414605</t>
  </si>
  <si>
    <t>Tol=±5% / V=50V / Type=C0G/NP0 / Pkg=0603</t>
  </si>
  <si>
    <t>C3,C4,C5,C6,C7,C11,C21,C28,C34,C36,C37,C38</t>
  </si>
  <si>
    <t>1uF</t>
  </si>
  <si>
    <t>CAP CER 1uF 10V X5R 0603 (1608M) ±10%</t>
  </si>
  <si>
    <t>C0603C105K8PACTU</t>
  </si>
  <si>
    <t>9227776</t>
  </si>
  <si>
    <t>Tol=±10% / V=10V / Type=X5R / Pkg=0603</t>
  </si>
  <si>
    <t>C9,C43,C46</t>
  </si>
  <si>
    <t>10uF</t>
  </si>
  <si>
    <t>CAP CER 10uF 10V X5R 0805 (2012M) ±10%</t>
  </si>
  <si>
    <t>Capacitor_SMD:C_0805_2012Metric_Pad1.18x1.45mm_HandSolder</t>
  </si>
  <si>
    <t>C0805C106K8PACTU</t>
  </si>
  <si>
    <t>1463362</t>
  </si>
  <si>
    <t>Tol=±10% / V=10V / Type=X5R / Pkg=0805</t>
  </si>
  <si>
    <t>C10</t>
  </si>
  <si>
    <t>22uF</t>
  </si>
  <si>
    <t>CAP CER 22uF 16V X5R 1206 (3216M) ±20%</t>
  </si>
  <si>
    <t>Capacitor_SMD:C_1206_3216Metric_Pad1.33x1.80mm_HandSolder</t>
  </si>
  <si>
    <t>Murata</t>
  </si>
  <si>
    <t>GRM319R61C226ME15J</t>
  </si>
  <si>
    <t>490-GRM319R61C226ME15JCT-ND</t>
  </si>
  <si>
    <t>Tol=±20% / V=16V / Type=X5R / Pkg=1206</t>
  </si>
  <si>
    <t>C29,C30,C31,C32,C39,C40,C42,C44,C45</t>
  </si>
  <si>
    <t>2.2uF</t>
  </si>
  <si>
    <t>CAP CER 2.2uF 16V X7R 0805 (2012M) ±5% (flex/auto)</t>
  </si>
  <si>
    <t>C0805X225J4RECAUTO</t>
  </si>
  <si>
    <t>4198468</t>
  </si>
  <si>
    <t>Tol=±5% / V=16V / Type=X7R / Pkg=0805</t>
  </si>
  <si>
    <t>C41</t>
  </si>
  <si>
    <t>0.01uF</t>
  </si>
  <si>
    <t>CAP CER 0.01uF 50V X7R 0603 (1608M) ±10%</t>
  </si>
  <si>
    <t>C0603C103K5RACTU</t>
  </si>
  <si>
    <t>1414609</t>
  </si>
  <si>
    <t>Tol=±10% / V=50V / Type=X7R / Pkg=0603</t>
  </si>
  <si>
    <t>D1,D2,D3,D4</t>
  </si>
  <si>
    <t>LED</t>
  </si>
  <si>
    <t>LED Green 0805</t>
  </si>
  <si>
    <t>LED_SMD:LED_0805_2012Metric_Pad1.15x1.40mm_HandSolder</t>
  </si>
  <si>
    <t>Lite-On</t>
  </si>
  <si>
    <t>LTST-C170KGKT</t>
  </si>
  <si>
    <t>160-1414-1-ND</t>
  </si>
  <si>
    <t>Pkg=0805</t>
  </si>
  <si>
    <t>D5</t>
  </si>
  <si>
    <t>D_Schottky</t>
  </si>
  <si>
    <t>Schottky diode 40V 1A SOD-123</t>
  </si>
  <si>
    <t>Diode_SMD:D_SOD-123</t>
  </si>
  <si>
    <t>Diodes Incorporated</t>
  </si>
  <si>
    <t>1N5819HW-7-F</t>
  </si>
  <si>
    <t>1773475</t>
  </si>
  <si>
    <t>Pkg=SOD-123</t>
  </si>
  <si>
    <t>IC1</t>
  </si>
  <si>
    <t>ADS1298</t>
  </si>
  <si>
    <t>8-ch, 24-bit Analog Front End (ECG/EMG), TQFP-64 PowerPAD</t>
  </si>
  <si>
    <t>ADS1298:HTQFP-64-PAP</t>
  </si>
  <si>
    <t>Texas Instruments</t>
  </si>
  <si>
    <t>ADS1298IPAG</t>
  </si>
  <si>
    <t>296-27734-ND</t>
  </si>
  <si>
    <t>Pkg=HTQFP-64 (PAP)</t>
  </si>
  <si>
    <t>J1</t>
  </si>
  <si>
    <t>Conn_01x02</t>
  </si>
  <si>
    <t>JST XH series header, vertical THT, 2pos, 2.50mm pitch</t>
  </si>
  <si>
    <t>Connector_JST:JST_XH_B2B-XH-A_1x02_P2.50mm_Vertical</t>
  </si>
  <si>
    <t>JST</t>
  </si>
  <si>
    <t>B2B-XH-A</t>
  </si>
  <si>
    <t>455-B2B-XH-A-ND</t>
  </si>
  <si>
    <t>Pitch=2.50mm / Rows=1 / Pos=2 / Mount=THT / Series=XH</t>
  </si>
  <si>
    <t>J2</t>
  </si>
  <si>
    <t>Conn_01x04</t>
  </si>
  <si>
    <t>JST XH series header, vertical THT, 4pos, 2.50mm pitch</t>
  </si>
  <si>
    <t>Connector_JST:JST_XH_B4B-XH-A_1x04_P2.50mm_Vertical</t>
  </si>
  <si>
    <t>B4B-XH-A</t>
  </si>
  <si>
    <t>455-B4B-XH-A-ND</t>
  </si>
  <si>
    <t>Pitch=2.50mm / Rows=1 / Pos=4 / Mount=THT / Series=XH</t>
  </si>
  <si>
    <t>J3</t>
  </si>
  <si>
    <t>Conn_01x06</t>
  </si>
  <si>
    <t>JST XH series header, vertical THT, 6pos, 2.50mm pitch</t>
  </si>
  <si>
    <t>Connector_JST:JST_XH_B6B-XH-A_1x06_P2.50mm_Vertical</t>
  </si>
  <si>
    <t>B6B-XH-A</t>
  </si>
  <si>
    <t>455-B6B-XH-A-ND</t>
  </si>
  <si>
    <t>Pitch=2.50mm / Rows=1 / Pos=6 / Mount=THT / Series=XH</t>
  </si>
  <si>
    <t>J4</t>
  </si>
  <si>
    <t>Conn_02x10_Odd_Even</t>
  </si>
  <si>
    <t>JST PHD series header, vertical THT, 20pos (2x10), 2.00mm pitch, shrouded</t>
  </si>
  <si>
    <t>Connector_JST:JST_PHD_B20B-PHDSS_2x10_P2.00mm_Vertical</t>
  </si>
  <si>
    <t>B20B-PHDSS</t>
  </si>
  <si>
    <t>455-B20B-PHDSS-ND</t>
  </si>
  <si>
    <t>Pitch=2.00mm / Rows=2 / Pos=20 (2x10) / Mount=THT / Series=PHD</t>
  </si>
  <si>
    <t>J6</t>
  </si>
  <si>
    <t>Conn_02x01</t>
  </si>
  <si>
    <t>L2</t>
  </si>
  <si>
    <t>22uH</t>
  </si>
  <si>
    <t>Power inductor 22uH 1210</t>
  </si>
  <si>
    <t>Inductor_SMD:L_1210_3225Metric</t>
  </si>
  <si>
    <t>LQH32PN220MN0L</t>
  </si>
  <si>
    <t>2470301</t>
  </si>
  <si>
    <t>I=(check datasheet) / DCR=(check datasheet) / Pkg=1210</t>
  </si>
  <si>
    <t>R1</t>
  </si>
  <si>
    <t>1M</t>
  </si>
  <si>
    <t>RES 1MΩ 1% 0603 0.1W</t>
  </si>
  <si>
    <t>Resistor_SMD:R_0603_1608Metric_Pad0.98x0.95mm_HandSolder</t>
  </si>
  <si>
    <t>Yageo</t>
  </si>
  <si>
    <t>RC0603FR-071ML</t>
  </si>
  <si>
    <t>9238840</t>
  </si>
  <si>
    <t>Tol=±1% / P=0.1W / Pkg=0603</t>
  </si>
  <si>
    <t>R3</t>
  </si>
  <si>
    <t>RES 220Ω 1% 0603 0.1W</t>
  </si>
  <si>
    <t>RC0603FR-07220RL</t>
  </si>
  <si>
    <t>9238409</t>
  </si>
  <si>
    <t>R4</t>
  </si>
  <si>
    <t>RES 470Ω 1% 0603 0.1W</t>
  </si>
  <si>
    <t>RC0603FR-07470RL</t>
  </si>
  <si>
    <t>9238441</t>
  </si>
  <si>
    <t>R5</t>
  </si>
  <si>
    <t>RES 200Ω 1% 0603 0.1W</t>
  </si>
  <si>
    <t>RC0603FR-07200RL</t>
  </si>
  <si>
    <t>3495763</t>
  </si>
  <si>
    <t>R6</t>
  </si>
  <si>
    <t>RES 130Ω 1% 0603 0.1W</t>
  </si>
  <si>
    <t>RC0603FR-07130RL</t>
  </si>
  <si>
    <t>3495733</t>
  </si>
  <si>
    <t>RN1,RN2,RN3,RN6</t>
  </si>
  <si>
    <t>CAY16-222J4LF</t>
  </si>
  <si>
    <t>Resistor array 4x 2.2kΩ ±5% 0603x4 (convex)</t>
  </si>
  <si>
    <t>CAY16:RESCAF80P320X160X60-8N</t>
  </si>
  <si>
    <t>Bourns</t>
  </si>
  <si>
    <t>1770134</t>
  </si>
  <si>
    <t>Pkg=CAY16 (4-res)</t>
  </si>
  <si>
    <t>RN5</t>
  </si>
  <si>
    <t>CAY16-4701F4LF</t>
  </si>
  <si>
    <t>Resistor array 4x 4.7kΩ ±1% 0603x4 (convex)</t>
  </si>
  <si>
    <t>2321746</t>
  </si>
  <si>
    <t>U1,U2,U3,U4,U5,U9</t>
  </si>
  <si>
    <t>TPD4E1B06DRLR</t>
  </si>
  <si>
    <t>ESD protection array, 4-channel, DRL (SOT-6)</t>
  </si>
  <si>
    <t>TPD4E:SOT50P160X60-6N</t>
  </si>
  <si>
    <t>296-40697-1-ND</t>
  </si>
  <si>
    <t>Pkg=SOT-6 (DRL)</t>
  </si>
  <si>
    <t>U6</t>
  </si>
  <si>
    <t>TPS7A2033PDBVR</t>
  </si>
  <si>
    <t>LDO regulator 3.3V, SOT-23-5</t>
  </si>
  <si>
    <t>TPS7A:SOT95P280X145-5N</t>
  </si>
  <si>
    <t>296-TPS7A2033PDBVRCT-ND</t>
  </si>
  <si>
    <t>Pkg=SOT-23-5 (DBV)</t>
  </si>
  <si>
    <t>U7</t>
  </si>
  <si>
    <t>TPS60400DBVTG4</t>
  </si>
  <si>
    <t>Charge pump inverter, SOT-23-5</t>
  </si>
  <si>
    <t>TPS604:SOT95P280X145-5N</t>
  </si>
  <si>
    <t>TPS60400DBVT</t>
  </si>
  <si>
    <t>296-12013-1-ND</t>
  </si>
  <si>
    <t>U8</t>
  </si>
  <si>
    <t>TPS72325DBVRG4</t>
  </si>
  <si>
    <t>LDO regulator 2.5V, SOT-23-5</t>
  </si>
  <si>
    <t>TPS723:SOT95P280X145-5N</t>
  </si>
  <si>
    <t>TPS72325DBVR</t>
  </si>
  <si>
    <t>296-39479-1-ND</t>
  </si>
  <si>
    <t>U10</t>
  </si>
  <si>
    <t>TLV70025DDCR</t>
  </si>
  <si>
    <t>LDO regulator 2.5V, SOT-23-5 (DDC)</t>
  </si>
  <si>
    <t>TLV70025:SOT95P280X110-5N</t>
  </si>
  <si>
    <t>TLV70025DDCT</t>
  </si>
  <si>
    <t>296-25568-1-ND</t>
  </si>
  <si>
    <t>Pkg=SOT-23-5 (DDC)</t>
  </si>
  <si>
    <t>VR1</t>
  </si>
  <si>
    <t>TLV70033DDCR</t>
  </si>
  <si>
    <t>LDO regulator 3.3V, SOT-23-5 (DDC)</t>
  </si>
  <si>
    <t>TLV70033:SOT95P280X110-5N</t>
  </si>
  <si>
    <t>3007774</t>
  </si>
  <si>
    <t>TOTAL (GBP, ex VAT)</t>
  </si>
  <si>
    <t>PHD_MATE_HOUSING</t>
  </si>
  <si>
    <t>JST PHD mating housing, 2x10 2.00mm (mates B20B-PHDSS)</t>
  </si>
  <si>
    <t>PHDR-20VS</t>
  </si>
  <si>
    <t>GBP</t>
  </si>
  <si>
    <t>https://www.digikey.co.uk/en/products/detail/jst-sales-america-inc/PHDR-20VS/608616</t>
  </si>
  <si>
    <t>PHD_MATE_LEAD</t>
  </si>
  <si>
    <t>Pre-crimped jumper lead for JST PHD (SPHD-001T-P0.5 contacts), 6in; use as PHD harness conductors</t>
  </si>
  <si>
    <t>APAPA22K152</t>
  </si>
  <si>
    <t>wire 22 AWG (per listing)</t>
  </si>
  <si>
    <t>https://www.digikey.co.uk/en/products/detail/jst-sales-america-inc/APAPA22K152/6009461</t>
  </si>
  <si>
    <t>ELEC_LEAD_TENS_PAIR</t>
  </si>
  <si>
    <t>TENS electrode lead wires (snap/stud ends) - 1 pair (typically 2-channel); cut plug end for splice to APAPA leads</t>
  </si>
  <si>
    <t>eBay (Healthcare World)</t>
  </si>
  <si>
    <t>261074784998</t>
  </si>
  <si>
    <t>verify connector: snap/stud; typically 3.5mm plug end to be cut</t>
  </si>
  <si>
    <t>https://www.ebay.co.uk/itm/261074784998</t>
  </si>
  <si>
    <t>ELEC_PADS_50PK</t>
  </si>
  <si>
    <t>Disposable snap ECG/EMG electrodes, pack of 50 (medical supply)</t>
  </si>
  <si>
    <t>SKINTACT</t>
  </si>
  <si>
    <t>eSupplies Medical</t>
  </si>
  <si>
    <t>D4203</t>
  </si>
  <si>
    <t>snap electrodes; confirm snap compatibility</t>
  </si>
  <si>
    <t>https://www.esuppliesmedical.co.uk/Equipment/ECG/ECG-Accessories/SKINTACT-Tab%E2%80%99n%E2%80%99Snap-Aqua-Wet-ECG-Electrodes-x50/p/D4203</t>
  </si>
  <si>
    <t>Lines</t>
  </si>
  <si>
    <t>Total_Order_Qty</t>
  </si>
  <si>
    <t>Total_GBP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</si>
</sst>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0.0000"/>
    <numFmt numFmtId="165" formatCode="\£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1" fillId="2" borderId="0" xfId="0" applyFont="1" applyFill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A1:N32">
  <autoFilter ref="A1:N32" xr:uid="{00000000-0009-0000-0100-000001000000}"/>
  <tableColumns count="14">
    <tableColumn id="1" xr3:uid="{00000000-0010-0000-0000-000001000000}" name="Reference"/>
    <tableColumn id="2" xr3:uid="{00000000-0010-0000-0000-000002000000}" name="Qty"/>
    <tableColumn id="3" xr3:uid="{00000000-0010-0000-0000-000003000000}" name="Order_Qty"/>
    <tableColumn id="4" xr3:uid="{00000000-0010-0000-0000-000004000000}" name="Value"/>
    <tableColumn id="5" xr3:uid="{00000000-0010-0000-0000-000005000000}" name="Description"/>
    <tableColumn id="6" xr3:uid="{00000000-0010-0000-0000-000006000000}" name="Footprint"/>
    <tableColumn id="7" xr3:uid="{00000000-0010-0000-0000-000007000000}" name="Manufacturer"/>
    <tableColumn id="8" xr3:uid="{00000000-0010-0000-0000-000008000000}" name="MPN"/>
    <tableColumn id="9" xr3:uid="{00000000-0010-0000-0000-000009000000}" name="Distributor"/>
    <tableColumn id="10" xr3:uid="{00000000-0010-0000-0000-00000A000000}" name="Distributor_PN"/>
    <tableColumn id="11" xr3:uid="{00000000-0010-0000-0000-00000B000000}" name="Specs (Tol/V/Type/TCR/P/I/DCR/Pkg)"/>
    <tableColumn id="12" xr3:uid="{00000000-0010-0000-0000-00000C000000}" name="Unit_Price_GBP"/>
    <tableColumn id="13" xr3:uid="{00000000-0010-0000-0000-00000D000000}" name="Ext_Price_GBP"/>
    <tableColumn id="14" xr3:uid="{00000000-0010-0000-0000-00000E000000}" nam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opLeftCell="A21" workbookViewId="0">
      <selection activeCell="C33" sqref="C33"/>
    </sheetView>
  </sheetViews>
  <sheetFormatPr baseColWidth="10" defaultColWidth="8.83203125" defaultRowHeight="15" x14ac:dyDescent="0.2"/>
  <cols>
    <col min="1" max="1" width="22" customWidth="1"/>
    <col min="2" max="2" width="6" customWidth="1"/>
    <col min="3" max="3" width="9" customWidth="1"/>
    <col min="4" max="4" width="10" customWidth="1"/>
    <col min="5" max="5" width="40" customWidth="1"/>
    <col min="6" max="6" width="45" customWidth="1"/>
    <col min="7" max="7" width="18" customWidth="1"/>
    <col min="8" max="8" width="22" customWidth="1"/>
    <col min="9" max="9" width="12" customWidth="1"/>
    <col min="10" max="10" width="18" customWidth="1"/>
    <col min="11" max="11" width="38" customWidth="1"/>
    <col min="12" max="14" width="14" customWidth="1"/>
  </cols>
  <sheetData>
    <row r="1" spans="1:15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ht="48" customHeight="1" x14ac:dyDescent="0.2">
      <c r="A2" s="2" t="s">
        <v>15</v>
      </c>
      <c r="B2" s="3">
        <v>6</v>
      </c>
      <c r="C2" s="3">
        <v>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4">
        <v>0.06</v>
      </c>
      <c r="M2" s="4">
        <v>0.36</v>
      </c>
      <c r="N2" s="2" t="s">
        <v>24</v>
      </c>
    </row>
    <row r="3" spans="1:15" ht="48" customHeight="1" x14ac:dyDescent="0.2">
      <c r="A3" s="2" t="s">
        <v>25</v>
      </c>
      <c r="B3" s="3">
        <v>17</v>
      </c>
      <c r="C3" s="3">
        <v>20</v>
      </c>
      <c r="D3" s="2" t="s">
        <v>26</v>
      </c>
      <c r="E3" s="2" t="s">
        <v>27</v>
      </c>
      <c r="F3" s="2" t="s">
        <v>18</v>
      </c>
      <c r="G3" s="2" t="s">
        <v>19</v>
      </c>
      <c r="H3" s="2" t="s">
        <v>28</v>
      </c>
      <c r="I3" s="2" t="s">
        <v>29</v>
      </c>
      <c r="J3" s="2" t="s">
        <v>30</v>
      </c>
      <c r="K3" s="2" t="s">
        <v>31</v>
      </c>
      <c r="L3" s="4">
        <v>3.0499999999999999E-2</v>
      </c>
      <c r="M3" s="4">
        <v>0.61</v>
      </c>
      <c r="N3" s="2" t="s">
        <v>24</v>
      </c>
    </row>
    <row r="4" spans="1:15" ht="32" customHeight="1" x14ac:dyDescent="0.2">
      <c r="A4" s="2" t="s">
        <v>32</v>
      </c>
      <c r="B4" s="3">
        <v>12</v>
      </c>
      <c r="C4" s="3">
        <v>20</v>
      </c>
      <c r="D4" s="2" t="s">
        <v>33</v>
      </c>
      <c r="E4" s="2" t="s">
        <v>34</v>
      </c>
      <c r="F4" s="2" t="s">
        <v>18</v>
      </c>
      <c r="G4" s="2" t="s">
        <v>19</v>
      </c>
      <c r="H4" s="2" t="s">
        <v>35</v>
      </c>
      <c r="I4" s="2" t="s">
        <v>29</v>
      </c>
      <c r="J4" s="2" t="s">
        <v>36</v>
      </c>
      <c r="K4" s="2" t="s">
        <v>37</v>
      </c>
      <c r="L4" s="4">
        <v>4.48E-2</v>
      </c>
      <c r="M4" s="4">
        <v>0.89600000000000002</v>
      </c>
      <c r="N4" s="2" t="s">
        <v>24</v>
      </c>
    </row>
    <row r="5" spans="1:15" ht="32" customHeight="1" x14ac:dyDescent="0.2">
      <c r="A5" s="2" t="s">
        <v>38</v>
      </c>
      <c r="B5" s="3">
        <v>3</v>
      </c>
      <c r="C5" s="3">
        <v>10</v>
      </c>
      <c r="D5" s="2" t="s">
        <v>39</v>
      </c>
      <c r="E5" s="2" t="s">
        <v>40</v>
      </c>
      <c r="F5" s="2" t="s">
        <v>41</v>
      </c>
      <c r="G5" s="2" t="s">
        <v>19</v>
      </c>
      <c r="H5" s="2" t="s">
        <v>42</v>
      </c>
      <c r="I5" s="2" t="s">
        <v>29</v>
      </c>
      <c r="J5" s="2" t="s">
        <v>43</v>
      </c>
      <c r="K5" s="2" t="s">
        <v>44</v>
      </c>
      <c r="L5" s="4">
        <v>5.9400000000000001E-2</v>
      </c>
      <c r="M5" s="4">
        <v>0.59399999999999997</v>
      </c>
      <c r="N5" s="2" t="s">
        <v>24</v>
      </c>
    </row>
    <row r="6" spans="1:15" ht="48" customHeight="1" x14ac:dyDescent="0.2">
      <c r="A6" s="2" t="s">
        <v>45</v>
      </c>
      <c r="B6" s="3">
        <v>1</v>
      </c>
      <c r="C6" s="3">
        <v>1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21</v>
      </c>
      <c r="J6" s="2" t="s">
        <v>51</v>
      </c>
      <c r="K6" s="2" t="s">
        <v>52</v>
      </c>
      <c r="L6" s="4">
        <v>0.3</v>
      </c>
      <c r="M6" s="4">
        <v>0.3</v>
      </c>
      <c r="N6" s="2" t="s">
        <v>24</v>
      </c>
    </row>
    <row r="7" spans="1:15" ht="32" customHeight="1" x14ac:dyDescent="0.2">
      <c r="A7" s="2" t="s">
        <v>53</v>
      </c>
      <c r="B7" s="3">
        <v>9</v>
      </c>
      <c r="C7" s="3">
        <v>10</v>
      </c>
      <c r="D7" s="2" t="s">
        <v>54</v>
      </c>
      <c r="E7" s="2" t="s">
        <v>55</v>
      </c>
      <c r="F7" s="2" t="s">
        <v>41</v>
      </c>
      <c r="G7" s="2" t="s">
        <v>19</v>
      </c>
      <c r="H7" s="2" t="s">
        <v>56</v>
      </c>
      <c r="I7" s="2" t="s">
        <v>29</v>
      </c>
      <c r="J7" s="2" t="s">
        <v>57</v>
      </c>
      <c r="K7" s="2" t="s">
        <v>58</v>
      </c>
      <c r="L7" s="4">
        <v>0.247</v>
      </c>
      <c r="M7" s="4">
        <v>2.4700000000000002</v>
      </c>
      <c r="N7" s="2" t="s">
        <v>24</v>
      </c>
    </row>
    <row r="8" spans="1:15" ht="32" customHeight="1" x14ac:dyDescent="0.2">
      <c r="A8" s="2" t="s">
        <v>59</v>
      </c>
      <c r="B8" s="3">
        <v>1</v>
      </c>
      <c r="C8" s="3">
        <v>10</v>
      </c>
      <c r="D8" s="2" t="s">
        <v>60</v>
      </c>
      <c r="E8" s="2" t="s">
        <v>61</v>
      </c>
      <c r="F8" s="2" t="s">
        <v>18</v>
      </c>
      <c r="G8" s="2" t="s">
        <v>19</v>
      </c>
      <c r="H8" s="2" t="s">
        <v>62</v>
      </c>
      <c r="I8" s="2" t="s">
        <v>29</v>
      </c>
      <c r="J8" s="2" t="s">
        <v>63</v>
      </c>
      <c r="K8" s="2" t="s">
        <v>64</v>
      </c>
      <c r="L8" s="4">
        <v>1.8800000000000001E-2</v>
      </c>
      <c r="M8" s="4">
        <v>0.188</v>
      </c>
      <c r="N8" s="2" t="s">
        <v>24</v>
      </c>
    </row>
    <row r="9" spans="1:15" ht="32" customHeight="1" x14ac:dyDescent="0.2">
      <c r="A9" s="2" t="s">
        <v>65</v>
      </c>
      <c r="B9" s="3">
        <v>4</v>
      </c>
      <c r="C9" s="3">
        <v>4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21</v>
      </c>
      <c r="J9" s="2" t="s">
        <v>71</v>
      </c>
      <c r="K9" s="2" t="s">
        <v>72</v>
      </c>
      <c r="L9" s="4">
        <v>0.1</v>
      </c>
      <c r="M9" s="4">
        <v>0.4</v>
      </c>
      <c r="N9" s="2" t="s">
        <v>24</v>
      </c>
    </row>
    <row r="10" spans="1:15" ht="16" customHeight="1" x14ac:dyDescent="0.2">
      <c r="A10" s="2" t="s">
        <v>73</v>
      </c>
      <c r="B10" s="3">
        <v>1</v>
      </c>
      <c r="C10" s="3">
        <v>5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29</v>
      </c>
      <c r="J10" s="2" t="s">
        <v>79</v>
      </c>
      <c r="K10" s="2" t="s">
        <v>80</v>
      </c>
      <c r="L10" s="4">
        <v>0.219</v>
      </c>
      <c r="M10" s="4">
        <v>1.095</v>
      </c>
      <c r="N10" s="2" t="s">
        <v>24</v>
      </c>
    </row>
    <row r="11" spans="1:15" ht="32" customHeight="1" x14ac:dyDescent="0.2">
      <c r="A11" s="2" t="s">
        <v>81</v>
      </c>
      <c r="B11" s="3">
        <v>1</v>
      </c>
      <c r="C11" s="3">
        <v>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  <c r="I11" s="2" t="s">
        <v>21</v>
      </c>
      <c r="J11" s="2" t="s">
        <v>87</v>
      </c>
      <c r="K11" s="2" t="s">
        <v>88</v>
      </c>
      <c r="L11" s="4">
        <v>36.68</v>
      </c>
      <c r="M11" s="4">
        <v>36.68</v>
      </c>
      <c r="N11" s="2" t="s">
        <v>24</v>
      </c>
    </row>
    <row r="12" spans="1:15" ht="32" customHeight="1" x14ac:dyDescent="0.2">
      <c r="A12" s="2" t="s">
        <v>89</v>
      </c>
      <c r="B12" s="3">
        <v>1</v>
      </c>
      <c r="C12" s="3">
        <v>1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21</v>
      </c>
      <c r="J12" s="2" t="s">
        <v>95</v>
      </c>
      <c r="K12" s="2" t="s">
        <v>96</v>
      </c>
      <c r="L12" s="4"/>
      <c r="M12" s="4"/>
      <c r="N12" s="2"/>
    </row>
    <row r="13" spans="1:15" ht="32" customHeight="1" x14ac:dyDescent="0.2">
      <c r="A13" s="2" t="s">
        <v>97</v>
      </c>
      <c r="B13" s="3">
        <v>1</v>
      </c>
      <c r="C13" s="3">
        <v>1</v>
      </c>
      <c r="D13" s="2" t="s">
        <v>98</v>
      </c>
      <c r="E13" s="2" t="s">
        <v>99</v>
      </c>
      <c r="F13" s="2" t="s">
        <v>100</v>
      </c>
      <c r="G13" s="2" t="s">
        <v>93</v>
      </c>
      <c r="H13" s="2" t="s">
        <v>101</v>
      </c>
      <c r="I13" s="2" t="s">
        <v>21</v>
      </c>
      <c r="J13" s="2" t="s">
        <v>102</v>
      </c>
      <c r="K13" s="2" t="s">
        <v>103</v>
      </c>
      <c r="L13" s="4"/>
      <c r="M13" s="4"/>
      <c r="N13" s="2"/>
    </row>
    <row r="14" spans="1:15" ht="32" customHeight="1" x14ac:dyDescent="0.2">
      <c r="A14" s="2" t="s">
        <v>104</v>
      </c>
      <c r="B14" s="3">
        <v>1</v>
      </c>
      <c r="C14" s="3">
        <v>1</v>
      </c>
      <c r="D14" s="2" t="s">
        <v>105</v>
      </c>
      <c r="E14" s="2" t="s">
        <v>106</v>
      </c>
      <c r="F14" s="2" t="s">
        <v>107</v>
      </c>
      <c r="G14" s="2" t="s">
        <v>93</v>
      </c>
      <c r="H14" s="2" t="s">
        <v>108</v>
      </c>
      <c r="I14" s="2" t="s">
        <v>21</v>
      </c>
      <c r="J14" s="2" t="s">
        <v>109</v>
      </c>
      <c r="K14" s="2" t="s">
        <v>110</v>
      </c>
      <c r="L14" s="4"/>
      <c r="M14" s="4"/>
      <c r="N14" s="2"/>
    </row>
    <row r="15" spans="1:15" ht="48" customHeight="1" x14ac:dyDescent="0.2">
      <c r="A15" s="2" t="s">
        <v>111</v>
      </c>
      <c r="B15" s="3">
        <v>1</v>
      </c>
      <c r="C15" s="3">
        <v>1</v>
      </c>
      <c r="D15" s="2" t="s">
        <v>112</v>
      </c>
      <c r="E15" s="2" t="s">
        <v>113</v>
      </c>
      <c r="F15" s="2" t="s">
        <v>114</v>
      </c>
      <c r="G15" s="2" t="s">
        <v>93</v>
      </c>
      <c r="H15" s="2" t="s">
        <v>115</v>
      </c>
      <c r="I15" s="2" t="s">
        <v>21</v>
      </c>
      <c r="J15" s="2" t="s">
        <v>116</v>
      </c>
      <c r="K15" s="2" t="s">
        <v>117</v>
      </c>
      <c r="L15" s="4"/>
      <c r="M15" s="4"/>
      <c r="N15" s="2"/>
    </row>
    <row r="16" spans="1:15" ht="32" customHeight="1" x14ac:dyDescent="0.2">
      <c r="A16" s="2" t="s">
        <v>118</v>
      </c>
      <c r="B16" s="3">
        <v>1</v>
      </c>
      <c r="C16" s="3">
        <v>100</v>
      </c>
      <c r="D16" s="2" t="s">
        <v>119</v>
      </c>
      <c r="E16" s="2" t="s">
        <v>91</v>
      </c>
      <c r="F16" s="2" t="s">
        <v>92</v>
      </c>
      <c r="G16" s="2" t="s">
        <v>93</v>
      </c>
      <c r="H16" s="2" t="s">
        <v>94</v>
      </c>
      <c r="I16" s="2" t="s">
        <v>21</v>
      </c>
      <c r="J16" s="2" t="s">
        <v>95</v>
      </c>
      <c r="K16" s="2" t="s">
        <v>96</v>
      </c>
      <c r="L16" s="4"/>
      <c r="M16" s="4"/>
      <c r="N16" s="2" t="s">
        <v>24</v>
      </c>
    </row>
    <row r="17" spans="1:14" ht="32" customHeight="1" x14ac:dyDescent="0.2">
      <c r="A17" s="2" t="s">
        <v>120</v>
      </c>
      <c r="B17" s="3">
        <v>1</v>
      </c>
      <c r="C17" s="3">
        <v>5</v>
      </c>
      <c r="D17" s="2" t="s">
        <v>121</v>
      </c>
      <c r="E17" s="2" t="s">
        <v>122</v>
      </c>
      <c r="F17" s="2" t="s">
        <v>123</v>
      </c>
      <c r="G17" s="2" t="s">
        <v>49</v>
      </c>
      <c r="H17" s="2" t="s">
        <v>124</v>
      </c>
      <c r="I17" s="2" t="s">
        <v>29</v>
      </c>
      <c r="J17" s="2" t="s">
        <v>125</v>
      </c>
      <c r="K17" s="2" t="s">
        <v>126</v>
      </c>
      <c r="L17" s="4">
        <v>0.20399999999999999</v>
      </c>
      <c r="M17" s="4">
        <v>1.02</v>
      </c>
      <c r="N17" s="2" t="s">
        <v>24</v>
      </c>
    </row>
    <row r="18" spans="1:14" ht="32" customHeight="1" x14ac:dyDescent="0.2">
      <c r="A18" s="2" t="s">
        <v>127</v>
      </c>
      <c r="B18" s="3">
        <v>1</v>
      </c>
      <c r="C18" s="3">
        <v>10</v>
      </c>
      <c r="D18" s="2" t="s">
        <v>128</v>
      </c>
      <c r="E18" s="2" t="s">
        <v>129</v>
      </c>
      <c r="F18" s="2" t="s">
        <v>130</v>
      </c>
      <c r="G18" s="2" t="s">
        <v>131</v>
      </c>
      <c r="H18" s="2" t="s">
        <v>132</v>
      </c>
      <c r="I18" s="2" t="s">
        <v>29</v>
      </c>
      <c r="J18" s="2" t="s">
        <v>133</v>
      </c>
      <c r="K18" s="2" t="s">
        <v>134</v>
      </c>
      <c r="L18" s="4">
        <v>1.0500000000000001E-2</v>
      </c>
      <c r="M18" s="4">
        <v>0.105</v>
      </c>
      <c r="N18" s="2" t="s">
        <v>24</v>
      </c>
    </row>
    <row r="19" spans="1:14" ht="32" customHeight="1" x14ac:dyDescent="0.2">
      <c r="A19" s="2" t="s">
        <v>135</v>
      </c>
      <c r="B19" s="3">
        <v>1</v>
      </c>
      <c r="C19" s="3">
        <v>10</v>
      </c>
      <c r="D19" s="2">
        <v>220</v>
      </c>
      <c r="E19" s="2" t="s">
        <v>136</v>
      </c>
      <c r="F19" s="2" t="s">
        <v>130</v>
      </c>
      <c r="G19" s="2" t="s">
        <v>131</v>
      </c>
      <c r="H19" s="2" t="s">
        <v>137</v>
      </c>
      <c r="I19" s="2" t="s">
        <v>29</v>
      </c>
      <c r="J19" s="2" t="s">
        <v>138</v>
      </c>
      <c r="K19" s="2" t="s">
        <v>134</v>
      </c>
      <c r="L19" s="4">
        <v>6.7999999999999996E-3</v>
      </c>
      <c r="M19" s="4">
        <v>6.7999999999999991E-2</v>
      </c>
      <c r="N19" s="2" t="s">
        <v>24</v>
      </c>
    </row>
    <row r="20" spans="1:14" ht="32" customHeight="1" x14ac:dyDescent="0.2">
      <c r="A20" s="2" t="s">
        <v>139</v>
      </c>
      <c r="B20" s="3">
        <v>1</v>
      </c>
      <c r="C20" s="3">
        <v>10</v>
      </c>
      <c r="D20" s="2">
        <v>470</v>
      </c>
      <c r="E20" s="2" t="s">
        <v>140</v>
      </c>
      <c r="F20" s="2" t="s">
        <v>130</v>
      </c>
      <c r="G20" s="2" t="s">
        <v>131</v>
      </c>
      <c r="H20" s="2" t="s">
        <v>141</v>
      </c>
      <c r="I20" s="2" t="s">
        <v>29</v>
      </c>
      <c r="J20" s="2" t="s">
        <v>142</v>
      </c>
      <c r="K20" s="2" t="s">
        <v>134</v>
      </c>
      <c r="L20" s="4">
        <v>7.7000000000000002E-3</v>
      </c>
      <c r="M20" s="4">
        <v>7.6999999999999999E-2</v>
      </c>
      <c r="N20" s="2" t="s">
        <v>24</v>
      </c>
    </row>
    <row r="21" spans="1:14" ht="32" customHeight="1" x14ac:dyDescent="0.2">
      <c r="A21" s="2" t="s">
        <v>143</v>
      </c>
      <c r="B21" s="3">
        <v>1</v>
      </c>
      <c r="C21" s="3">
        <v>10</v>
      </c>
      <c r="D21" s="2">
        <v>200</v>
      </c>
      <c r="E21" s="2" t="s">
        <v>144</v>
      </c>
      <c r="F21" s="2" t="s">
        <v>130</v>
      </c>
      <c r="G21" s="2" t="s">
        <v>131</v>
      </c>
      <c r="H21" s="2" t="s">
        <v>145</v>
      </c>
      <c r="I21" s="2" t="s">
        <v>29</v>
      </c>
      <c r="J21" s="2" t="s">
        <v>146</v>
      </c>
      <c r="K21" s="2" t="s">
        <v>134</v>
      </c>
      <c r="L21" s="4">
        <v>5.1000000000000004E-3</v>
      </c>
      <c r="M21" s="4">
        <v>5.0999999999999997E-2</v>
      </c>
      <c r="N21" s="2" t="s">
        <v>24</v>
      </c>
    </row>
    <row r="22" spans="1:14" ht="32" customHeight="1" x14ac:dyDescent="0.2">
      <c r="A22" s="2" t="s">
        <v>147</v>
      </c>
      <c r="B22" s="3">
        <v>1</v>
      </c>
      <c r="C22" s="3">
        <v>10</v>
      </c>
      <c r="D22" s="2">
        <v>130</v>
      </c>
      <c r="E22" s="2" t="s">
        <v>148</v>
      </c>
      <c r="F22" s="2" t="s">
        <v>130</v>
      </c>
      <c r="G22" s="2" t="s">
        <v>131</v>
      </c>
      <c r="H22" s="2" t="s">
        <v>149</v>
      </c>
      <c r="I22" s="2" t="s">
        <v>29</v>
      </c>
      <c r="J22" s="2" t="s">
        <v>150</v>
      </c>
      <c r="K22" s="2" t="s">
        <v>134</v>
      </c>
      <c r="L22" s="4">
        <v>5.1000000000000004E-3</v>
      </c>
      <c r="M22" s="4">
        <v>5.0999999999999997E-2</v>
      </c>
      <c r="N22" s="2" t="s">
        <v>24</v>
      </c>
    </row>
    <row r="23" spans="1:14" ht="32" customHeight="1" x14ac:dyDescent="0.2">
      <c r="A23" s="2" t="s">
        <v>151</v>
      </c>
      <c r="B23" s="3">
        <v>4</v>
      </c>
      <c r="C23" s="3">
        <v>10</v>
      </c>
      <c r="D23" s="2" t="s">
        <v>152</v>
      </c>
      <c r="E23" s="2" t="s">
        <v>153</v>
      </c>
      <c r="F23" s="2" t="s">
        <v>154</v>
      </c>
      <c r="G23" s="2" t="s">
        <v>155</v>
      </c>
      <c r="H23" s="2" t="s">
        <v>152</v>
      </c>
      <c r="I23" s="2" t="s">
        <v>29</v>
      </c>
      <c r="J23" s="2" t="s">
        <v>156</v>
      </c>
      <c r="K23" s="2" t="s">
        <v>157</v>
      </c>
      <c r="L23" s="4">
        <v>3.0499999999999999E-2</v>
      </c>
      <c r="M23" s="4">
        <v>0.30499999999999999</v>
      </c>
      <c r="N23" s="2" t="s">
        <v>24</v>
      </c>
    </row>
    <row r="24" spans="1:14" ht="32" customHeight="1" x14ac:dyDescent="0.2">
      <c r="A24" s="2" t="s">
        <v>158</v>
      </c>
      <c r="B24" s="3">
        <v>1</v>
      </c>
      <c r="C24" s="3">
        <v>10</v>
      </c>
      <c r="D24" s="2" t="s">
        <v>159</v>
      </c>
      <c r="E24" s="2" t="s">
        <v>160</v>
      </c>
      <c r="F24" s="2" t="s">
        <v>154</v>
      </c>
      <c r="G24" s="2" t="s">
        <v>155</v>
      </c>
      <c r="H24" s="2" t="s">
        <v>159</v>
      </c>
      <c r="I24" s="2" t="s">
        <v>29</v>
      </c>
      <c r="J24" s="2" t="s">
        <v>161</v>
      </c>
      <c r="K24" s="2" t="s">
        <v>157</v>
      </c>
      <c r="L24" s="4">
        <v>3.6299999999999999E-2</v>
      </c>
      <c r="M24" s="4">
        <v>0.36299999999999999</v>
      </c>
      <c r="N24" s="2" t="s">
        <v>24</v>
      </c>
    </row>
    <row r="25" spans="1:14" ht="32" customHeight="1" x14ac:dyDescent="0.2">
      <c r="A25" s="2" t="s">
        <v>162</v>
      </c>
      <c r="B25" s="3">
        <v>6</v>
      </c>
      <c r="C25" s="3">
        <v>6</v>
      </c>
      <c r="D25" s="2" t="s">
        <v>163</v>
      </c>
      <c r="E25" s="2" t="s">
        <v>164</v>
      </c>
      <c r="F25" s="2" t="s">
        <v>165</v>
      </c>
      <c r="G25" s="2" t="s">
        <v>85</v>
      </c>
      <c r="H25" s="2" t="s">
        <v>163</v>
      </c>
      <c r="I25" s="2" t="s">
        <v>21</v>
      </c>
      <c r="J25" s="2" t="s">
        <v>166</v>
      </c>
      <c r="K25" s="2" t="s">
        <v>167</v>
      </c>
      <c r="L25" s="4">
        <v>0.6</v>
      </c>
      <c r="M25" s="4">
        <v>3.6</v>
      </c>
      <c r="N25" s="2" t="s">
        <v>24</v>
      </c>
    </row>
    <row r="26" spans="1:14" ht="48" customHeight="1" x14ac:dyDescent="0.2">
      <c r="A26" s="2" t="s">
        <v>168</v>
      </c>
      <c r="B26" s="3">
        <v>1</v>
      </c>
      <c r="C26" s="3">
        <v>1</v>
      </c>
      <c r="D26" s="2" t="s">
        <v>169</v>
      </c>
      <c r="E26" s="2" t="s">
        <v>170</v>
      </c>
      <c r="F26" s="2" t="s">
        <v>171</v>
      </c>
      <c r="G26" s="2" t="s">
        <v>85</v>
      </c>
      <c r="H26" s="2" t="s">
        <v>169</v>
      </c>
      <c r="I26" s="2" t="s">
        <v>21</v>
      </c>
      <c r="J26" s="2" t="s">
        <v>172</v>
      </c>
      <c r="K26" s="2" t="s">
        <v>173</v>
      </c>
      <c r="L26" s="4">
        <v>0.24</v>
      </c>
      <c r="M26" s="4">
        <v>0.24</v>
      </c>
      <c r="N26" s="2" t="s">
        <v>24</v>
      </c>
    </row>
    <row r="27" spans="1:14" ht="32" customHeight="1" x14ac:dyDescent="0.2">
      <c r="A27" s="2" t="s">
        <v>174</v>
      </c>
      <c r="B27" s="3">
        <v>1</v>
      </c>
      <c r="C27" s="3">
        <v>1</v>
      </c>
      <c r="D27" s="2" t="s">
        <v>175</v>
      </c>
      <c r="E27" s="2" t="s">
        <v>176</v>
      </c>
      <c r="F27" s="2" t="s">
        <v>177</v>
      </c>
      <c r="G27" s="2" t="s">
        <v>85</v>
      </c>
      <c r="H27" s="2" t="s">
        <v>178</v>
      </c>
      <c r="I27" s="2" t="s">
        <v>21</v>
      </c>
      <c r="J27" s="2" t="s">
        <v>179</v>
      </c>
      <c r="K27" s="2" t="s">
        <v>173</v>
      </c>
      <c r="L27" s="4">
        <v>1.04</v>
      </c>
      <c r="M27" s="4">
        <v>1.04</v>
      </c>
      <c r="N27" s="2" t="s">
        <v>24</v>
      </c>
    </row>
    <row r="28" spans="1:14" ht="32" customHeight="1" x14ac:dyDescent="0.2">
      <c r="A28" s="2" t="s">
        <v>180</v>
      </c>
      <c r="B28" s="3">
        <v>1</v>
      </c>
      <c r="C28" s="3">
        <v>1</v>
      </c>
      <c r="D28" s="2" t="s">
        <v>181</v>
      </c>
      <c r="E28" s="2" t="s">
        <v>182</v>
      </c>
      <c r="F28" s="2" t="s">
        <v>183</v>
      </c>
      <c r="G28" s="2" t="s">
        <v>85</v>
      </c>
      <c r="H28" s="2" t="s">
        <v>184</v>
      </c>
      <c r="I28" s="2" t="s">
        <v>21</v>
      </c>
      <c r="J28" s="2" t="s">
        <v>185</v>
      </c>
      <c r="K28" s="2" t="s">
        <v>173</v>
      </c>
      <c r="L28" s="4">
        <v>2.56</v>
      </c>
      <c r="M28" s="4">
        <v>2.56</v>
      </c>
      <c r="N28" s="2" t="s">
        <v>24</v>
      </c>
    </row>
    <row r="29" spans="1:14" ht="32" customHeight="1" x14ac:dyDescent="0.2">
      <c r="A29" s="2" t="s">
        <v>186</v>
      </c>
      <c r="B29" s="3">
        <v>1</v>
      </c>
      <c r="C29" s="3">
        <v>1</v>
      </c>
      <c r="D29" s="2" t="s">
        <v>187</v>
      </c>
      <c r="E29" s="2" t="s">
        <v>188</v>
      </c>
      <c r="F29" s="2" t="s">
        <v>189</v>
      </c>
      <c r="G29" s="2" t="s">
        <v>85</v>
      </c>
      <c r="H29" s="2" t="s">
        <v>190</v>
      </c>
      <c r="I29" s="2" t="s">
        <v>21</v>
      </c>
      <c r="J29" s="2" t="s">
        <v>191</v>
      </c>
      <c r="K29" s="2" t="s">
        <v>192</v>
      </c>
      <c r="L29" s="4">
        <v>0.63</v>
      </c>
      <c r="M29" s="4">
        <v>0.63</v>
      </c>
      <c r="N29" s="2" t="s">
        <v>24</v>
      </c>
    </row>
    <row r="30" spans="1:14" ht="32" customHeight="1" x14ac:dyDescent="0.2">
      <c r="A30" s="2" t="s">
        <v>193</v>
      </c>
      <c r="B30" s="3">
        <v>1</v>
      </c>
      <c r="C30" s="3">
        <v>5</v>
      </c>
      <c r="D30" s="2" t="s">
        <v>194</v>
      </c>
      <c r="E30" s="2" t="s">
        <v>195</v>
      </c>
      <c r="F30" s="2" t="s">
        <v>196</v>
      </c>
      <c r="G30" s="2" t="s">
        <v>85</v>
      </c>
      <c r="H30" s="2" t="s">
        <v>194</v>
      </c>
      <c r="I30" s="2" t="s">
        <v>29</v>
      </c>
      <c r="J30" s="2" t="s">
        <v>197</v>
      </c>
      <c r="K30" s="2" t="s">
        <v>192</v>
      </c>
      <c r="L30" s="4">
        <v>0.187</v>
      </c>
      <c r="M30" s="4">
        <v>0.93500000000000005</v>
      </c>
      <c r="N30" s="2" t="s">
        <v>24</v>
      </c>
    </row>
    <row r="32" spans="1:14" x14ac:dyDescent="0.2">
      <c r="L32" s="5" t="s">
        <v>198</v>
      </c>
      <c r="M32" s="6">
        <f>SUM(M2:M30)</f>
        <v>54.638000000000012</v>
      </c>
    </row>
    <row r="33" spans="1:15" x14ac:dyDescent="0.2">
      <c r="A33" t="s">
        <v>199</v>
      </c>
      <c r="B33">
        <v>1</v>
      </c>
      <c r="C33">
        <v>1</v>
      </c>
      <c r="E33" t="s">
        <v>200</v>
      </c>
      <c r="G33" t="s">
        <v>93</v>
      </c>
      <c r="H33" t="s">
        <v>201</v>
      </c>
      <c r="I33" t="s">
        <v>21</v>
      </c>
      <c r="J33" t="s">
        <v>201</v>
      </c>
      <c r="L33">
        <v>0.2</v>
      </c>
      <c r="M33">
        <v>0.2</v>
      </c>
      <c r="N33" t="s">
        <v>202</v>
      </c>
      <c r="O33" t="s">
        <v>203</v>
      </c>
    </row>
    <row r="34" spans="1:15" x14ac:dyDescent="0.2">
      <c r="A34" t="s">
        <v>204</v>
      </c>
      <c r="B34">
        <v>20</v>
      </c>
      <c r="C34">
        <v>20</v>
      </c>
      <c r="E34" t="s">
        <v>205</v>
      </c>
      <c r="G34" t="s">
        <v>93</v>
      </c>
      <c r="H34" t="s">
        <v>206</v>
      </c>
      <c r="I34" t="s">
        <v>21</v>
      </c>
      <c r="J34" t="s">
        <v>206</v>
      </c>
      <c r="K34" t="s">
        <v>207</v>
      </c>
      <c r="L34">
        <v>0.28000000000000003</v>
      </c>
      <c r="M34">
        <v>5.6</v>
      </c>
      <c r="N34" t="s">
        <v>202</v>
      </c>
      <c r="O34" t="s">
        <v>208</v>
      </c>
    </row>
    <row r="35" spans="1:15" x14ac:dyDescent="0.2">
      <c r="A35" t="s">
        <v>209</v>
      </c>
      <c r="B35">
        <v>5</v>
      </c>
      <c r="C35">
        <v>5</v>
      </c>
      <c r="E35" t="s">
        <v>210</v>
      </c>
      <c r="I35" t="s">
        <v>211</v>
      </c>
      <c r="J35" t="s">
        <v>212</v>
      </c>
      <c r="K35" t="s">
        <v>213</v>
      </c>
      <c r="L35">
        <v>7.07</v>
      </c>
      <c r="M35">
        <v>35.35</v>
      </c>
      <c r="N35" t="s">
        <v>202</v>
      </c>
      <c r="O35" t="s">
        <v>214</v>
      </c>
    </row>
    <row r="36" spans="1:15" x14ac:dyDescent="0.2">
      <c r="A36" t="s">
        <v>215</v>
      </c>
      <c r="B36">
        <v>1</v>
      </c>
      <c r="C36">
        <v>1</v>
      </c>
      <c r="E36" t="s">
        <v>216</v>
      </c>
      <c r="G36" t="s">
        <v>217</v>
      </c>
      <c r="I36" t="s">
        <v>218</v>
      </c>
      <c r="J36" t="s">
        <v>219</v>
      </c>
      <c r="K36" t="s">
        <v>220</v>
      </c>
      <c r="L36">
        <v>11.23</v>
      </c>
      <c r="M36">
        <v>11.23</v>
      </c>
      <c r="N36" t="s">
        <v>202</v>
      </c>
      <c r="O36" t="s">
        <v>221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4" width="14" customWidth="1"/>
  </cols>
  <sheetData>
    <row r="1" spans="1:4" x14ac:dyDescent="0.2">
      <c r="A1" s="7" t="s">
        <v>8</v>
      </c>
      <c r="B1" s="7" t="s">
        <v>222</v>
      </c>
      <c r="C1" s="7" t="s">
        <v>223</v>
      </c>
      <c r="D1" s="7" t="s">
        <v>224</v>
      </c>
    </row>
    <row r="2" spans="1:4" x14ac:dyDescent="0.2">
      <c r="A2" t="s">
        <v>29</v>
      </c>
      <c r="B2">
        <v>15</v>
      </c>
      <c r="C2">
        <v>155</v>
      </c>
      <c r="D2" s="8">
        <v>8.8279999999999994</v>
      </c>
    </row>
    <row r="3" spans="1:4" x14ac:dyDescent="0.2">
      <c r="A3" t="s">
        <v>21</v>
      </c>
      <c r="B3">
        <v>16</v>
      </c>
      <c r="C3">
        <v>147</v>
      </c>
      <c r="D3" s="8">
        <v>51.61</v>
      </c>
    </row>
    <row r="4" spans="1:4" x14ac:dyDescent="0.2">
      <c r="A4" t="s">
        <v>211</v>
      </c>
      <c r="B4">
        <v>1</v>
      </c>
      <c r="C4">
        <v>5</v>
      </c>
      <c r="D4" s="8">
        <v>35.35</v>
      </c>
    </row>
    <row r="5" spans="1:4" x14ac:dyDescent="0.2">
      <c r="A5" t="s">
        <v>218</v>
      </c>
      <c r="B5">
        <v>1</v>
      </c>
      <c r="C5">
        <v>1</v>
      </c>
      <c r="D5">
        <v>11.23</v>
      </c>
    </row>
    <row r="6" spans="1:4" x14ac:dyDescent="0.2">
      <c r="D6" s="8">
        <f>SUM(D2:D5)</f>
        <v>107.01800000000001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BOM_Priced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CAVUS, EGE (UG)</cp:lastModifiedBy>
  <dcterms:created xsi:type="dcterms:W3CDTF">2026-02-13T19:11:02Z</dcterms:created>
  <dcterms:modified xsi:type="dcterms:W3CDTF">2026-02-13T19:13:13Z</dcterms:modified>
</cp:coreProperties>
</file>